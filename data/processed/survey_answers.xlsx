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ya\Documents\GitHub_projects\Networks_SSF_NatCap\data\processed\"/>
    </mc:Choice>
  </mc:AlternateContent>
  <xr:revisionPtr revIDLastSave="0" documentId="13_ncr:1_{C773A745-48BE-4266-A645-1048F6E50E11}" xr6:coauthVersionLast="47" xr6:coauthVersionMax="47" xr10:uidLastSave="{00000000-0000-0000-0000-000000000000}"/>
  <bookViews>
    <workbookView xWindow="-110" yWindow="-110" windowWidth="19420" windowHeight="11500" activeTab="1" xr2:uid="{D68F89A8-327B-4D58-8325-D38D1DBBA317}"/>
  </bookViews>
  <sheets>
    <sheet name="Metadata" sheetId="2" r:id="rId1"/>
    <sheet name="Fishers" sheetId="1" r:id="rId2"/>
  </sheets>
  <definedNames>
    <definedName name="_xlnm._FilterDatabase" localSheetId="1" hidden="1">Fishers!$A$1:$P$48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O45" i="1"/>
  <c r="O30" i="1"/>
  <c r="O36" i="1"/>
  <c r="O13" i="1"/>
  <c r="O12" i="1"/>
  <c r="M15" i="1"/>
  <c r="N14" i="1"/>
  <c r="N5" i="1"/>
  <c r="N3" i="1"/>
  <c r="M30" i="1"/>
  <c r="M29" i="1"/>
  <c r="M28" i="1"/>
  <c r="M22" i="1"/>
  <c r="M16" i="1"/>
  <c r="M6" i="1"/>
  <c r="M3" i="1"/>
  <c r="K41" i="1"/>
  <c r="L46" i="1"/>
  <c r="L38" i="1"/>
  <c r="K13" i="1"/>
  <c r="J29" i="1"/>
  <c r="J11" i="1"/>
  <c r="J5" i="1"/>
</calcChain>
</file>

<file path=xl/sharedStrings.xml><?xml version="1.0" encoding="utf-8"?>
<sst xmlns="http://schemas.openxmlformats.org/spreadsheetml/2006/main" count="460" uniqueCount="113">
  <si>
    <t>Site</t>
  </si>
  <si>
    <t>ID</t>
  </si>
  <si>
    <t>Gender</t>
  </si>
  <si>
    <t>Specie</t>
  </si>
  <si>
    <t>SC 41</t>
  </si>
  <si>
    <t>Male</t>
  </si>
  <si>
    <t>Creole</t>
  </si>
  <si>
    <t>&gt;55</t>
  </si>
  <si>
    <t>Hook stick</t>
  </si>
  <si>
    <t>Yes</t>
  </si>
  <si>
    <t>sharing with tourists for tips, mostly subsistence</t>
  </si>
  <si>
    <t>SC 22</t>
  </si>
  <si>
    <t>Female</t>
  </si>
  <si>
    <t>Garifuna</t>
  </si>
  <si>
    <t>Mestizo</t>
  </si>
  <si>
    <t>Restaurants</t>
  </si>
  <si>
    <t>25 - 34</t>
  </si>
  <si>
    <t>Cooperative Northern</t>
  </si>
  <si>
    <t>SC16</t>
  </si>
  <si>
    <t>45 - 54</t>
  </si>
  <si>
    <t>Cooperative, restaurants</t>
  </si>
  <si>
    <t>SC 50</t>
  </si>
  <si>
    <t>Maya</t>
  </si>
  <si>
    <t>Snare</t>
  </si>
  <si>
    <t>SC 43</t>
  </si>
  <si>
    <t>Mestizo, Creole</t>
  </si>
  <si>
    <t>SC 45</t>
  </si>
  <si>
    <t>35 - 44</t>
  </si>
  <si>
    <t>dont sell</t>
  </si>
  <si>
    <t>Shade</t>
  </si>
  <si>
    <t>Jamo</t>
  </si>
  <si>
    <t>Cooperative</t>
  </si>
  <si>
    <t>Mestizo, Maya</t>
  </si>
  <si>
    <t>No</t>
  </si>
  <si>
    <t>Cooperative and restaurants</t>
  </si>
  <si>
    <t>Placencia</t>
  </si>
  <si>
    <t>PLA 24</t>
  </si>
  <si>
    <t>Other</t>
  </si>
  <si>
    <t>PLA 1</t>
  </si>
  <si>
    <t>Restaurant</t>
  </si>
  <si>
    <t>PLA 19</t>
  </si>
  <si>
    <t>Placencia Cooperative and Green Forest Seafood</t>
  </si>
  <si>
    <t>PLA 4</t>
  </si>
  <si>
    <t>Rainforest and foreigners</t>
  </si>
  <si>
    <t>Lobster</t>
  </si>
  <si>
    <t>Free diving</t>
  </si>
  <si>
    <t>personel tourist for tips</t>
  </si>
  <si>
    <t>Cooperative Belize city and restaurants</t>
  </si>
  <si>
    <t>Cooperative (30%) restaurant (70%)</t>
  </si>
  <si>
    <t>National Cooperative and restaurants</t>
  </si>
  <si>
    <t>Cooperatives, locals and retailers</t>
  </si>
  <si>
    <t>PLA 31</t>
  </si>
  <si>
    <t>Conch</t>
  </si>
  <si>
    <t>Hand line</t>
  </si>
  <si>
    <t>Spin Rode</t>
  </si>
  <si>
    <t>Finfish</t>
  </si>
  <si>
    <t>sharing with tourist for tips, restaurants</t>
  </si>
  <si>
    <t>Dont sell</t>
  </si>
  <si>
    <t>Local venders</t>
  </si>
  <si>
    <t>Locals, resorts, retailers</t>
  </si>
  <si>
    <t>dont sell the catch</t>
  </si>
  <si>
    <t>Male_1</t>
  </si>
  <si>
    <t>NA_1</t>
  </si>
  <si>
    <t>Female_1</t>
  </si>
  <si>
    <t>NA_2</t>
  </si>
  <si>
    <t>Female_2</t>
  </si>
  <si>
    <t>Male_2</t>
  </si>
  <si>
    <t>NA_3</t>
  </si>
  <si>
    <t>Male_3</t>
  </si>
  <si>
    <t>F_5</t>
  </si>
  <si>
    <t>Shade and  Hook stick</t>
  </si>
  <si>
    <t>Shade and  Lobster trap</t>
  </si>
  <si>
    <t>1 and  6</t>
  </si>
  <si>
    <t>3 and  4</t>
  </si>
  <si>
    <t>3 and  4 and  5</t>
  </si>
  <si>
    <t>3 and  8 and  9</t>
  </si>
  <si>
    <t>3 and  8</t>
  </si>
  <si>
    <t>Spearfishing and  Other</t>
  </si>
  <si>
    <t>1 and  6 and  9</t>
  </si>
  <si>
    <t>3 and  4 and  9</t>
  </si>
  <si>
    <t>Hand line and  Other</t>
  </si>
  <si>
    <t>Hand line and  Spearfishing</t>
  </si>
  <si>
    <t>Hand line and  Spearfishing and  Other</t>
  </si>
  <si>
    <t>Hand line and  Trap</t>
  </si>
  <si>
    <t>Ethnicity</t>
  </si>
  <si>
    <t>Age_group</t>
  </si>
  <si>
    <t>Fishing_gear_used</t>
  </si>
  <si>
    <t>Own_vessel_gear</t>
  </si>
  <si>
    <t>Fishing_zone</t>
  </si>
  <si>
    <t>Fishing_trips_per_month_season</t>
  </si>
  <si>
    <t>Hours_fishing_trip</t>
  </si>
  <si>
    <t>Fishing_trip_cost</t>
  </si>
  <si>
    <t>Average_catch_per_trip</t>
  </si>
  <si>
    <t>Selling_price</t>
  </si>
  <si>
    <t>Profit_from_trip</t>
  </si>
  <si>
    <t>To_whom_sell_catch</t>
  </si>
  <si>
    <t>Place where the workshop take place</t>
  </si>
  <si>
    <t>Individual identifier of respondent</t>
  </si>
  <si>
    <t>gender self-identification</t>
  </si>
  <si>
    <t>Ethnic background of the respondent</t>
  </si>
  <si>
    <t>Age of the respondent</t>
  </si>
  <si>
    <t>Fishing gear most commonly used in that specific fishery</t>
  </si>
  <si>
    <t>If the respondent own their boat and fishing gear</t>
  </si>
  <si>
    <t>Fishing zones in which the respondent carries out specific fishing.</t>
  </si>
  <si>
    <t>Average number of fishing trips per month during the fishing season. When the respondent gives a range of values, the average between those two values is calculated</t>
  </si>
  <si>
    <t>Duration in hours of each fishing trip. When the respondent gives a range of values, the average between those two values is calculated</t>
  </si>
  <si>
    <t>Average catch per fishing trip in pounds. When the respondent gives a range of values, the average between those two values is calculated</t>
  </si>
  <si>
    <t>Average cost per fishing trip. When the respondent gives a range of values, the average between those two values is calculated. Values are in Belizean dollars</t>
  </si>
  <si>
    <t>Estimated profit per fishing trip. When the respondent gives a range of values, the average between those two values is calculated. Values are in Belizean dollars</t>
  </si>
  <si>
    <t>Average selling price per pond. When the respondent gives a range of values, the average between those two values is calculated. Values are in Belizean dollars</t>
  </si>
  <si>
    <t>To whom is this species generally sold</t>
  </si>
  <si>
    <t xml:space="preserve">The fishery to which the answers about lobster (Panilurus argus), queen conch (Strombus gigas), and finfish (snook, barracuda, snapper, grouper, jacks) relate. </t>
  </si>
  <si>
    <t>Caye_Caulker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</si>
</sst>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F34E8007-2ABC-46B8-9CF7-B5363A137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73D-77B6-451E-91FF-FC015F439378}">
  <dimension ref="A1:B16"/>
  <sheetViews>
    <sheetView workbookViewId="0">
      <selection activeCell="E12" sqref="E12"/>
    </sheetView>
  </sheetViews>
  <sheetFormatPr defaultRowHeight="14.5" x14ac:dyDescent="0.35"/>
  <cols>
    <col min="1" max="1" width="27.453125" bestFit="1" customWidth="1"/>
  </cols>
  <sheetData>
    <row r="1" spans="1:2" x14ac:dyDescent="0.35">
      <c r="A1" t="s">
        <v>0</v>
      </c>
      <c r="B1" t="s">
        <v>96</v>
      </c>
    </row>
    <row r="2" spans="1:2" x14ac:dyDescent="0.35">
      <c r="A2" t="s">
        <v>1</v>
      </c>
      <c r="B2" t="s">
        <v>97</v>
      </c>
    </row>
    <row r="3" spans="1:2" x14ac:dyDescent="0.35">
      <c r="A3" t="s">
        <v>2</v>
      </c>
      <c r="B3" t="s">
        <v>98</v>
      </c>
    </row>
    <row r="4" spans="1:2" x14ac:dyDescent="0.35">
      <c r="A4" t="s">
        <v>84</v>
      </c>
      <c r="B4" t="s">
        <v>99</v>
      </c>
    </row>
    <row r="5" spans="1:2" x14ac:dyDescent="0.35">
      <c r="A5" t="s">
        <v>85</v>
      </c>
      <c r="B5" t="s">
        <v>100</v>
      </c>
    </row>
    <row r="6" spans="1:2" x14ac:dyDescent="0.35">
      <c r="A6" t="s">
        <v>3</v>
      </c>
      <c r="B6" t="s">
        <v>111</v>
      </c>
    </row>
    <row r="7" spans="1:2" x14ac:dyDescent="0.35">
      <c r="A7" t="s">
        <v>86</v>
      </c>
      <c r="B7" t="s">
        <v>101</v>
      </c>
    </row>
    <row r="8" spans="1:2" x14ac:dyDescent="0.35">
      <c r="A8" t="s">
        <v>87</v>
      </c>
      <c r="B8" t="s">
        <v>102</v>
      </c>
    </row>
    <row r="9" spans="1:2" x14ac:dyDescent="0.35">
      <c r="A9" t="s">
        <v>88</v>
      </c>
      <c r="B9" t="s">
        <v>103</v>
      </c>
    </row>
    <row r="10" spans="1:2" x14ac:dyDescent="0.35">
      <c r="A10" t="s">
        <v>89</v>
      </c>
      <c r="B10" t="s">
        <v>104</v>
      </c>
    </row>
    <row r="11" spans="1:2" x14ac:dyDescent="0.35">
      <c r="A11" t="s">
        <v>90</v>
      </c>
      <c r="B11" t="s">
        <v>105</v>
      </c>
    </row>
    <row r="12" spans="1:2" x14ac:dyDescent="0.35">
      <c r="A12" t="s">
        <v>91</v>
      </c>
      <c r="B12" t="s">
        <v>107</v>
      </c>
    </row>
    <row r="13" spans="1:2" x14ac:dyDescent="0.35">
      <c r="A13" t="s">
        <v>92</v>
      </c>
      <c r="B13" t="s">
        <v>106</v>
      </c>
    </row>
    <row r="14" spans="1:2" x14ac:dyDescent="0.35">
      <c r="A14" t="s">
        <v>93</v>
      </c>
      <c r="B14" t="s">
        <v>109</v>
      </c>
    </row>
    <row r="15" spans="1:2" x14ac:dyDescent="0.35">
      <c r="A15" t="s">
        <v>94</v>
      </c>
      <c r="B15" t="s">
        <v>108</v>
      </c>
    </row>
    <row r="16" spans="1:2" x14ac:dyDescent="0.35">
      <c r="A16" t="s">
        <v>95</v>
      </c>
      <c r="B1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CA3D-A0A4-4315-8221-1D5EDCD4874A}">
  <dimension ref="A1:P48"/>
  <sheetViews>
    <sheetView tabSelected="1" topLeftCell="C1" zoomScale="80" zoomScaleNormal="80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22.90625" customWidth="1"/>
    <col min="2" max="2" width="8" bestFit="1" customWidth="1"/>
    <col min="3" max="3" width="6.36328125" bestFit="1" customWidth="1"/>
    <col min="4" max="4" width="12.08984375" bestFit="1" customWidth="1"/>
    <col min="5" max="5" width="8" bestFit="1" customWidth="1"/>
    <col min="6" max="6" width="7.1796875" bestFit="1" customWidth="1"/>
    <col min="7" max="7" width="21.81640625" customWidth="1"/>
    <col min="8" max="8" width="8.1796875" bestFit="1" customWidth="1"/>
    <col min="9" max="9" width="12.54296875" customWidth="1"/>
    <col min="10" max="10" width="30.36328125" customWidth="1"/>
    <col min="11" max="11" width="18.6328125" bestFit="1" customWidth="1"/>
    <col min="12" max="12" width="17.6328125" bestFit="1" customWidth="1"/>
    <col min="13" max="13" width="10.7265625" customWidth="1"/>
    <col min="14" max="14" width="12.26953125" bestFit="1" customWidth="1"/>
    <col min="15" max="15" width="9.36328125" customWidth="1"/>
    <col min="16" max="16" width="29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84</v>
      </c>
      <c r="E1" t="s">
        <v>85</v>
      </c>
      <c r="F1" t="s">
        <v>3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</row>
    <row r="2" spans="1:16" x14ac:dyDescent="0.35">
      <c r="A2" t="s">
        <v>112</v>
      </c>
      <c r="B2" t="s">
        <v>4</v>
      </c>
      <c r="C2" t="s">
        <v>5</v>
      </c>
      <c r="D2" t="s">
        <v>6</v>
      </c>
      <c r="E2" t="s">
        <v>7</v>
      </c>
      <c r="F2" t="s">
        <v>44</v>
      </c>
      <c r="G2" t="s">
        <v>8</v>
      </c>
      <c r="H2" t="s">
        <v>9</v>
      </c>
      <c r="I2">
        <v>1</v>
      </c>
      <c r="J2">
        <v>5</v>
      </c>
      <c r="N2">
        <v>10</v>
      </c>
      <c r="P2" t="s">
        <v>10</v>
      </c>
    </row>
    <row r="3" spans="1:16" x14ac:dyDescent="0.35">
      <c r="A3" t="s">
        <v>112</v>
      </c>
      <c r="B3" t="s">
        <v>61</v>
      </c>
      <c r="C3" t="s">
        <v>5</v>
      </c>
      <c r="D3" t="s">
        <v>14</v>
      </c>
      <c r="E3" t="s">
        <v>7</v>
      </c>
      <c r="F3" t="s">
        <v>44</v>
      </c>
      <c r="G3" t="s">
        <v>70</v>
      </c>
      <c r="H3" t="s">
        <v>9</v>
      </c>
      <c r="I3">
        <v>1</v>
      </c>
      <c r="J3">
        <v>4</v>
      </c>
      <c r="K3">
        <v>8</v>
      </c>
      <c r="L3">
        <v>100</v>
      </c>
      <c r="M3">
        <f>(25+30)/2</f>
        <v>27.5</v>
      </c>
      <c r="N3">
        <f>(25+30)/2</f>
        <v>27.5</v>
      </c>
      <c r="O3">
        <v>189.06</v>
      </c>
      <c r="P3" t="s">
        <v>15</v>
      </c>
    </row>
    <row r="4" spans="1:16" x14ac:dyDescent="0.35">
      <c r="A4" t="s">
        <v>112</v>
      </c>
      <c r="B4" t="s">
        <v>69</v>
      </c>
      <c r="C4" t="s">
        <v>12</v>
      </c>
      <c r="D4" t="s">
        <v>14</v>
      </c>
      <c r="E4" t="s">
        <v>16</v>
      </c>
      <c r="F4" t="s">
        <v>44</v>
      </c>
      <c r="G4" t="s">
        <v>71</v>
      </c>
      <c r="H4" t="s">
        <v>9</v>
      </c>
      <c r="I4">
        <v>1</v>
      </c>
      <c r="J4">
        <v>14</v>
      </c>
      <c r="K4">
        <v>8</v>
      </c>
      <c r="L4">
        <v>300</v>
      </c>
      <c r="M4">
        <v>70</v>
      </c>
      <c r="N4">
        <v>15</v>
      </c>
      <c r="P4" t="s">
        <v>17</v>
      </c>
    </row>
    <row r="5" spans="1:16" x14ac:dyDescent="0.35">
      <c r="A5" t="s">
        <v>112</v>
      </c>
      <c r="B5" t="s">
        <v>18</v>
      </c>
      <c r="C5" t="s">
        <v>5</v>
      </c>
      <c r="D5" t="s">
        <v>6</v>
      </c>
      <c r="E5" t="s">
        <v>19</v>
      </c>
      <c r="F5" t="s">
        <v>44</v>
      </c>
      <c r="G5" t="s">
        <v>71</v>
      </c>
      <c r="H5" t="s">
        <v>9</v>
      </c>
      <c r="J5">
        <f>100/8</f>
        <v>12.5</v>
      </c>
      <c r="K5">
        <v>7</v>
      </c>
      <c r="L5">
        <v>200</v>
      </c>
      <c r="M5">
        <v>30</v>
      </c>
      <c r="N5">
        <f>(25+30)/2</f>
        <v>27.5</v>
      </c>
      <c r="O5">
        <v>400</v>
      </c>
      <c r="P5" t="s">
        <v>15</v>
      </c>
    </row>
    <row r="6" spans="1:16" x14ac:dyDescent="0.35">
      <c r="A6" t="s">
        <v>112</v>
      </c>
      <c r="B6" t="s">
        <v>62</v>
      </c>
      <c r="F6" t="s">
        <v>44</v>
      </c>
      <c r="G6" t="s">
        <v>71</v>
      </c>
      <c r="H6" t="s">
        <v>9</v>
      </c>
      <c r="I6" t="s">
        <v>72</v>
      </c>
      <c r="J6">
        <v>20</v>
      </c>
      <c r="K6">
        <v>6</v>
      </c>
      <c r="L6">
        <v>500</v>
      </c>
      <c r="M6">
        <f>(20+60)/2</f>
        <v>40</v>
      </c>
      <c r="N6">
        <v>25</v>
      </c>
      <c r="O6">
        <v>300</v>
      </c>
      <c r="P6" t="s">
        <v>20</v>
      </c>
    </row>
    <row r="7" spans="1:16" x14ac:dyDescent="0.35">
      <c r="A7" t="s">
        <v>112</v>
      </c>
      <c r="B7" t="s">
        <v>21</v>
      </c>
      <c r="C7" t="s">
        <v>5</v>
      </c>
      <c r="D7" t="s">
        <v>22</v>
      </c>
      <c r="E7" t="s">
        <v>7</v>
      </c>
      <c r="F7" t="s">
        <v>44</v>
      </c>
      <c r="G7" t="s">
        <v>23</v>
      </c>
      <c r="H7" t="s">
        <v>9</v>
      </c>
      <c r="J7">
        <v>1</v>
      </c>
      <c r="K7">
        <v>2.5</v>
      </c>
      <c r="L7">
        <v>150</v>
      </c>
    </row>
    <row r="8" spans="1:16" x14ac:dyDescent="0.35">
      <c r="A8" t="s">
        <v>112</v>
      </c>
      <c r="B8" t="s">
        <v>26</v>
      </c>
      <c r="C8" t="s">
        <v>5</v>
      </c>
      <c r="D8" t="s">
        <v>14</v>
      </c>
      <c r="E8" t="s">
        <v>27</v>
      </c>
      <c r="F8" t="s">
        <v>44</v>
      </c>
      <c r="H8" t="s">
        <v>9</v>
      </c>
      <c r="I8">
        <v>1</v>
      </c>
      <c r="K8">
        <v>4</v>
      </c>
      <c r="P8" t="s">
        <v>28</v>
      </c>
    </row>
    <row r="9" spans="1:16" x14ac:dyDescent="0.35">
      <c r="A9" t="s">
        <v>112</v>
      </c>
      <c r="B9" t="s">
        <v>63</v>
      </c>
      <c r="C9" t="s">
        <v>12</v>
      </c>
      <c r="D9" t="s">
        <v>25</v>
      </c>
      <c r="E9" t="s">
        <v>16</v>
      </c>
      <c r="F9" t="s">
        <v>44</v>
      </c>
      <c r="G9" t="s">
        <v>29</v>
      </c>
      <c r="H9" t="s">
        <v>9</v>
      </c>
      <c r="J9">
        <v>5</v>
      </c>
      <c r="K9">
        <v>2</v>
      </c>
      <c r="L9">
        <v>350</v>
      </c>
      <c r="M9">
        <v>4.5</v>
      </c>
      <c r="O9">
        <v>200</v>
      </c>
    </row>
    <row r="10" spans="1:16" x14ac:dyDescent="0.35">
      <c r="A10" t="s">
        <v>112</v>
      </c>
      <c r="B10" t="s">
        <v>66</v>
      </c>
      <c r="C10" t="s">
        <v>5</v>
      </c>
      <c r="D10" t="s">
        <v>6</v>
      </c>
      <c r="E10" t="s">
        <v>19</v>
      </c>
      <c r="F10" t="s">
        <v>44</v>
      </c>
      <c r="G10" t="s">
        <v>30</v>
      </c>
      <c r="H10" t="s">
        <v>9</v>
      </c>
      <c r="I10" t="s">
        <v>73</v>
      </c>
      <c r="J10">
        <v>10</v>
      </c>
      <c r="K10">
        <v>24</v>
      </c>
      <c r="L10">
        <v>300</v>
      </c>
      <c r="M10">
        <v>50</v>
      </c>
      <c r="N10">
        <v>30</v>
      </c>
      <c r="O10">
        <v>1200</v>
      </c>
      <c r="P10" t="s">
        <v>15</v>
      </c>
    </row>
    <row r="11" spans="1:16" x14ac:dyDescent="0.35">
      <c r="A11" t="s">
        <v>112</v>
      </c>
      <c r="B11" t="s">
        <v>67</v>
      </c>
      <c r="F11" t="s">
        <v>44</v>
      </c>
      <c r="G11" t="s">
        <v>29</v>
      </c>
      <c r="H11" t="s">
        <v>9</v>
      </c>
      <c r="J11">
        <f>200/8</f>
        <v>25</v>
      </c>
      <c r="K11">
        <v>5</v>
      </c>
      <c r="L11">
        <v>100</v>
      </c>
      <c r="M11">
        <v>30</v>
      </c>
      <c r="N11">
        <v>26</v>
      </c>
      <c r="P11" t="s">
        <v>31</v>
      </c>
    </row>
    <row r="12" spans="1:16" x14ac:dyDescent="0.35">
      <c r="A12" t="s">
        <v>112</v>
      </c>
      <c r="B12" t="s">
        <v>68</v>
      </c>
      <c r="C12" t="s">
        <v>5</v>
      </c>
      <c r="D12" t="s">
        <v>32</v>
      </c>
      <c r="E12" t="s">
        <v>16</v>
      </c>
      <c r="F12" t="s">
        <v>44</v>
      </c>
      <c r="G12" t="s">
        <v>29</v>
      </c>
      <c r="H12" t="s">
        <v>33</v>
      </c>
      <c r="I12" t="s">
        <v>72</v>
      </c>
      <c r="J12">
        <v>10</v>
      </c>
      <c r="K12">
        <v>6</v>
      </c>
      <c r="L12">
        <v>500</v>
      </c>
      <c r="M12">
        <v>131.25</v>
      </c>
      <c r="N12">
        <v>25</v>
      </c>
      <c r="O12">
        <f>(500+2000)/2</f>
        <v>1250</v>
      </c>
      <c r="P12" t="s">
        <v>34</v>
      </c>
    </row>
    <row r="13" spans="1:16" x14ac:dyDescent="0.35">
      <c r="A13" t="s">
        <v>35</v>
      </c>
      <c r="B13" t="s">
        <v>36</v>
      </c>
      <c r="F13" t="s">
        <v>44</v>
      </c>
      <c r="G13" t="s">
        <v>37</v>
      </c>
      <c r="H13" t="s">
        <v>9</v>
      </c>
      <c r="I13" t="s">
        <v>73</v>
      </c>
      <c r="J13">
        <v>10</v>
      </c>
      <c r="K13">
        <f>(24+36)/2</f>
        <v>30</v>
      </c>
      <c r="L13">
        <v>800</v>
      </c>
      <c r="M13">
        <v>125</v>
      </c>
      <c r="N13">
        <v>30</v>
      </c>
      <c r="O13">
        <f>(2000+2500)/2</f>
        <v>2250</v>
      </c>
      <c r="P13" t="s">
        <v>15</v>
      </c>
    </row>
    <row r="14" spans="1:16" x14ac:dyDescent="0.35">
      <c r="A14" t="s">
        <v>35</v>
      </c>
      <c r="B14" t="s">
        <v>38</v>
      </c>
      <c r="C14" t="s">
        <v>5</v>
      </c>
      <c r="D14" t="s">
        <v>6</v>
      </c>
      <c r="E14" t="s">
        <v>19</v>
      </c>
      <c r="F14" t="s">
        <v>44</v>
      </c>
      <c r="G14" t="s">
        <v>29</v>
      </c>
      <c r="H14" t="s">
        <v>9</v>
      </c>
      <c r="I14" t="s">
        <v>73</v>
      </c>
      <c r="J14">
        <v>1</v>
      </c>
      <c r="K14">
        <v>8</v>
      </c>
      <c r="L14">
        <v>250</v>
      </c>
      <c r="M14">
        <v>95</v>
      </c>
      <c r="N14">
        <f>(26+30)/2</f>
        <v>28</v>
      </c>
      <c r="O14">
        <v>750</v>
      </c>
      <c r="P14" t="s">
        <v>39</v>
      </c>
    </row>
    <row r="15" spans="1:16" x14ac:dyDescent="0.35">
      <c r="A15" t="s">
        <v>35</v>
      </c>
      <c r="B15" t="s">
        <v>40</v>
      </c>
      <c r="C15" t="s">
        <v>5</v>
      </c>
      <c r="D15" t="s">
        <v>6</v>
      </c>
      <c r="E15" t="s">
        <v>27</v>
      </c>
      <c r="F15" t="s">
        <v>44</v>
      </c>
      <c r="G15" t="s">
        <v>71</v>
      </c>
      <c r="H15" t="s">
        <v>9</v>
      </c>
      <c r="I15" t="s">
        <v>74</v>
      </c>
      <c r="J15">
        <v>30</v>
      </c>
      <c r="K15">
        <v>4.5</v>
      </c>
      <c r="L15">
        <v>250</v>
      </c>
      <c r="M15">
        <f>(150+200)/2</f>
        <v>175</v>
      </c>
      <c r="N15">
        <v>30</v>
      </c>
      <c r="O15">
        <v>33</v>
      </c>
      <c r="P15" t="s">
        <v>41</v>
      </c>
    </row>
    <row r="16" spans="1:16" x14ac:dyDescent="0.35">
      <c r="A16" t="s">
        <v>35</v>
      </c>
      <c r="B16" t="s">
        <v>42</v>
      </c>
      <c r="C16" t="s">
        <v>5</v>
      </c>
      <c r="D16" t="s">
        <v>13</v>
      </c>
      <c r="E16" t="s">
        <v>19</v>
      </c>
      <c r="F16" t="s">
        <v>44</v>
      </c>
      <c r="G16" t="s">
        <v>8</v>
      </c>
      <c r="H16" t="s">
        <v>9</v>
      </c>
      <c r="I16" t="s">
        <v>75</v>
      </c>
      <c r="J16">
        <v>12</v>
      </c>
      <c r="K16">
        <v>6</v>
      </c>
      <c r="L16">
        <v>300</v>
      </c>
      <c r="M16">
        <f>30</f>
        <v>30</v>
      </c>
      <c r="N16">
        <v>28</v>
      </c>
      <c r="O16">
        <v>400</v>
      </c>
      <c r="P16" t="s">
        <v>43</v>
      </c>
    </row>
    <row r="17" spans="1:16" x14ac:dyDescent="0.35">
      <c r="A17" t="s">
        <v>112</v>
      </c>
      <c r="B17" t="s">
        <v>4</v>
      </c>
      <c r="C17" t="s">
        <v>5</v>
      </c>
      <c r="D17" t="s">
        <v>6</v>
      </c>
      <c r="E17" t="s">
        <v>7</v>
      </c>
      <c r="F17" t="s">
        <v>52</v>
      </c>
      <c r="G17" t="s">
        <v>45</v>
      </c>
      <c r="N17">
        <v>8</v>
      </c>
      <c r="P17" t="s">
        <v>46</v>
      </c>
    </row>
    <row r="18" spans="1:16" x14ac:dyDescent="0.35">
      <c r="A18" t="s">
        <v>112</v>
      </c>
      <c r="B18" t="s">
        <v>11</v>
      </c>
      <c r="C18" t="s">
        <v>12</v>
      </c>
      <c r="D18" t="s">
        <v>13</v>
      </c>
      <c r="E18" t="s">
        <v>7</v>
      </c>
      <c r="F18" t="s">
        <v>52</v>
      </c>
      <c r="G18" t="s">
        <v>45</v>
      </c>
      <c r="H18" t="s">
        <v>9</v>
      </c>
      <c r="J18">
        <v>20</v>
      </c>
      <c r="M18">
        <v>31</v>
      </c>
      <c r="N18">
        <v>4</v>
      </c>
      <c r="P18" t="s">
        <v>47</v>
      </c>
    </row>
    <row r="19" spans="1:16" x14ac:dyDescent="0.35">
      <c r="A19" t="s">
        <v>112</v>
      </c>
      <c r="B19" t="s">
        <v>61</v>
      </c>
      <c r="C19" t="s">
        <v>5</v>
      </c>
      <c r="D19" t="s">
        <v>14</v>
      </c>
      <c r="E19" t="s">
        <v>7</v>
      </c>
      <c r="F19" t="s">
        <v>52</v>
      </c>
      <c r="G19" t="s">
        <v>45</v>
      </c>
      <c r="H19" t="s">
        <v>9</v>
      </c>
      <c r="I19">
        <v>1</v>
      </c>
      <c r="J19">
        <v>4</v>
      </c>
      <c r="K19">
        <v>8</v>
      </c>
      <c r="L19">
        <v>50</v>
      </c>
      <c r="M19">
        <v>25</v>
      </c>
      <c r="N19">
        <v>10</v>
      </c>
      <c r="O19">
        <v>125</v>
      </c>
      <c r="P19" t="s">
        <v>15</v>
      </c>
    </row>
    <row r="20" spans="1:16" x14ac:dyDescent="0.35">
      <c r="A20" t="s">
        <v>112</v>
      </c>
      <c r="B20" t="s">
        <v>69</v>
      </c>
      <c r="C20" t="s">
        <v>12</v>
      </c>
      <c r="D20" t="s">
        <v>14</v>
      </c>
      <c r="E20" t="s">
        <v>16</v>
      </c>
      <c r="F20" t="s">
        <v>52</v>
      </c>
      <c r="G20" t="s">
        <v>45</v>
      </c>
      <c r="H20" t="s">
        <v>9</v>
      </c>
      <c r="I20">
        <v>1</v>
      </c>
      <c r="J20">
        <v>1</v>
      </c>
      <c r="K20">
        <v>48</v>
      </c>
      <c r="L20">
        <v>600</v>
      </c>
      <c r="M20">
        <v>100</v>
      </c>
      <c r="N20">
        <v>8</v>
      </c>
      <c r="P20" t="s">
        <v>17</v>
      </c>
    </row>
    <row r="21" spans="1:16" x14ac:dyDescent="0.35">
      <c r="A21" t="s">
        <v>112</v>
      </c>
      <c r="B21" t="s">
        <v>18</v>
      </c>
      <c r="C21" t="s">
        <v>5</v>
      </c>
      <c r="D21" t="s">
        <v>6</v>
      </c>
      <c r="E21" t="s">
        <v>19</v>
      </c>
      <c r="F21" t="s">
        <v>52</v>
      </c>
      <c r="G21" t="s">
        <v>45</v>
      </c>
      <c r="H21" t="s">
        <v>9</v>
      </c>
      <c r="I21" t="s">
        <v>73</v>
      </c>
      <c r="K21">
        <v>6</v>
      </c>
      <c r="L21">
        <v>200</v>
      </c>
      <c r="M21">
        <v>60</v>
      </c>
      <c r="N21">
        <v>15</v>
      </c>
      <c r="O21">
        <v>400</v>
      </c>
      <c r="P21" t="s">
        <v>39</v>
      </c>
    </row>
    <row r="22" spans="1:16" x14ac:dyDescent="0.35">
      <c r="A22" t="s">
        <v>112</v>
      </c>
      <c r="B22" t="s">
        <v>62</v>
      </c>
      <c r="F22" t="s">
        <v>52</v>
      </c>
      <c r="G22" t="s">
        <v>37</v>
      </c>
      <c r="I22" t="s">
        <v>72</v>
      </c>
      <c r="J22">
        <v>10</v>
      </c>
      <c r="K22">
        <v>5</v>
      </c>
      <c r="L22">
        <v>300</v>
      </c>
      <c r="M22">
        <f>(15+20)/2</f>
        <v>17.5</v>
      </c>
      <c r="N22">
        <v>12</v>
      </c>
      <c r="O22">
        <v>250</v>
      </c>
      <c r="P22" t="s">
        <v>20</v>
      </c>
    </row>
    <row r="23" spans="1:16" x14ac:dyDescent="0.35">
      <c r="A23" t="s">
        <v>112</v>
      </c>
      <c r="B23" t="s">
        <v>21</v>
      </c>
      <c r="C23" t="s">
        <v>5</v>
      </c>
      <c r="D23" t="s">
        <v>22</v>
      </c>
      <c r="E23" t="s">
        <v>7</v>
      </c>
      <c r="F23" t="s">
        <v>52</v>
      </c>
      <c r="G23" t="s">
        <v>45</v>
      </c>
      <c r="H23" t="s">
        <v>9</v>
      </c>
      <c r="J23">
        <v>1</v>
      </c>
      <c r="K23">
        <v>2.5</v>
      </c>
      <c r="L23">
        <v>150</v>
      </c>
    </row>
    <row r="24" spans="1:16" x14ac:dyDescent="0.35">
      <c r="A24" t="s">
        <v>112</v>
      </c>
      <c r="B24" t="s">
        <v>26</v>
      </c>
      <c r="C24" t="s">
        <v>5</v>
      </c>
      <c r="D24" t="s">
        <v>14</v>
      </c>
      <c r="E24" t="s">
        <v>27</v>
      </c>
      <c r="F24" t="s">
        <v>52</v>
      </c>
      <c r="G24" t="s">
        <v>45</v>
      </c>
      <c r="H24" t="s">
        <v>9</v>
      </c>
      <c r="I24">
        <v>1</v>
      </c>
    </row>
    <row r="25" spans="1:16" x14ac:dyDescent="0.35">
      <c r="A25" t="s">
        <v>112</v>
      </c>
      <c r="B25" t="s">
        <v>63</v>
      </c>
      <c r="C25" t="s">
        <v>12</v>
      </c>
      <c r="D25" t="s">
        <v>25</v>
      </c>
      <c r="E25" t="s">
        <v>16</v>
      </c>
      <c r="F25" t="s">
        <v>52</v>
      </c>
      <c r="G25" t="s">
        <v>45</v>
      </c>
      <c r="H25" t="s">
        <v>9</v>
      </c>
      <c r="J25">
        <v>2</v>
      </c>
      <c r="K25">
        <v>3</v>
      </c>
      <c r="L25">
        <v>350</v>
      </c>
      <c r="M25">
        <v>4.5</v>
      </c>
    </row>
    <row r="26" spans="1:16" x14ac:dyDescent="0.35">
      <c r="A26" t="s">
        <v>112</v>
      </c>
      <c r="B26" t="s">
        <v>66</v>
      </c>
      <c r="C26" t="s">
        <v>5</v>
      </c>
      <c r="D26" t="s">
        <v>6</v>
      </c>
      <c r="E26" t="s">
        <v>19</v>
      </c>
      <c r="F26" t="s">
        <v>52</v>
      </c>
      <c r="G26" t="s">
        <v>45</v>
      </c>
      <c r="H26" t="s">
        <v>9</v>
      </c>
      <c r="I26">
        <v>3</v>
      </c>
      <c r="J26">
        <v>4</v>
      </c>
      <c r="K26">
        <v>48</v>
      </c>
      <c r="L26">
        <v>400</v>
      </c>
      <c r="M26">
        <v>200</v>
      </c>
      <c r="N26">
        <v>10</v>
      </c>
      <c r="O26">
        <v>1600</v>
      </c>
      <c r="P26" t="s">
        <v>15</v>
      </c>
    </row>
    <row r="27" spans="1:16" x14ac:dyDescent="0.35">
      <c r="A27" t="s">
        <v>112</v>
      </c>
      <c r="B27" t="s">
        <v>68</v>
      </c>
      <c r="C27" t="s">
        <v>5</v>
      </c>
      <c r="D27" t="s">
        <v>32</v>
      </c>
      <c r="E27" t="s">
        <v>16</v>
      </c>
      <c r="F27" t="s">
        <v>52</v>
      </c>
      <c r="G27" t="s">
        <v>45</v>
      </c>
      <c r="H27" t="s">
        <v>33</v>
      </c>
      <c r="I27" t="s">
        <v>72</v>
      </c>
      <c r="J27">
        <v>24</v>
      </c>
      <c r="K27">
        <v>10</v>
      </c>
      <c r="L27">
        <v>200</v>
      </c>
      <c r="M27">
        <v>20</v>
      </c>
      <c r="N27">
        <v>8</v>
      </c>
      <c r="O27">
        <v>150</v>
      </c>
      <c r="P27" t="s">
        <v>48</v>
      </c>
    </row>
    <row r="28" spans="1:16" x14ac:dyDescent="0.35">
      <c r="A28" t="s">
        <v>35</v>
      </c>
      <c r="B28" t="s">
        <v>36</v>
      </c>
      <c r="F28" t="s">
        <v>52</v>
      </c>
      <c r="G28" t="s">
        <v>45</v>
      </c>
      <c r="H28" t="s">
        <v>9</v>
      </c>
      <c r="I28" t="s">
        <v>73</v>
      </c>
      <c r="J28">
        <v>2</v>
      </c>
      <c r="K28">
        <v>30</v>
      </c>
      <c r="L28">
        <v>700</v>
      </c>
      <c r="M28">
        <f>(75+100)/2</f>
        <v>87.5</v>
      </c>
      <c r="N28">
        <v>10</v>
      </c>
      <c r="O28">
        <v>1250</v>
      </c>
      <c r="P28" t="s">
        <v>15</v>
      </c>
    </row>
    <row r="29" spans="1:16" x14ac:dyDescent="0.35">
      <c r="A29" t="s">
        <v>35</v>
      </c>
      <c r="B29" t="s">
        <v>38</v>
      </c>
      <c r="C29" t="s">
        <v>5</v>
      </c>
      <c r="D29" t="s">
        <v>6</v>
      </c>
      <c r="E29" t="s">
        <v>19</v>
      </c>
      <c r="F29" t="s">
        <v>52</v>
      </c>
      <c r="G29" t="s">
        <v>45</v>
      </c>
      <c r="H29" t="s">
        <v>9</v>
      </c>
      <c r="I29" t="s">
        <v>73</v>
      </c>
      <c r="J29">
        <f>64/8</f>
        <v>8</v>
      </c>
      <c r="K29">
        <v>7</v>
      </c>
      <c r="L29">
        <v>120</v>
      </c>
      <c r="M29">
        <f>(15+20)/2</f>
        <v>17.5</v>
      </c>
      <c r="N29">
        <v>9.5</v>
      </c>
      <c r="O29">
        <v>160</v>
      </c>
      <c r="P29" t="s">
        <v>49</v>
      </c>
    </row>
    <row r="30" spans="1:16" x14ac:dyDescent="0.35">
      <c r="A30" t="s">
        <v>35</v>
      </c>
      <c r="B30" t="s">
        <v>40</v>
      </c>
      <c r="C30" t="s">
        <v>5</v>
      </c>
      <c r="D30" t="s">
        <v>6</v>
      </c>
      <c r="E30" t="s">
        <v>27</v>
      </c>
      <c r="F30" t="s">
        <v>52</v>
      </c>
      <c r="G30" t="s">
        <v>45</v>
      </c>
      <c r="H30" t="s">
        <v>9</v>
      </c>
      <c r="I30" t="s">
        <v>74</v>
      </c>
      <c r="J30">
        <v>2.5</v>
      </c>
      <c r="K30">
        <v>3.5</v>
      </c>
      <c r="L30">
        <v>450</v>
      </c>
      <c r="M30">
        <f>(800+1000)/2</f>
        <v>900</v>
      </c>
      <c r="N30">
        <v>9</v>
      </c>
      <c r="O30">
        <f>((1500+2000)/2)</f>
        <v>1750</v>
      </c>
      <c r="P30" t="s">
        <v>41</v>
      </c>
    </row>
    <row r="31" spans="1:16" x14ac:dyDescent="0.35">
      <c r="A31" t="s">
        <v>35</v>
      </c>
      <c r="B31" t="s">
        <v>42</v>
      </c>
      <c r="C31" t="s">
        <v>5</v>
      </c>
      <c r="D31" t="s">
        <v>13</v>
      </c>
      <c r="E31" t="s">
        <v>19</v>
      </c>
      <c r="F31" t="s">
        <v>52</v>
      </c>
      <c r="G31" t="s">
        <v>45</v>
      </c>
      <c r="H31" t="s">
        <v>9</v>
      </c>
      <c r="I31" t="s">
        <v>76</v>
      </c>
      <c r="J31">
        <v>3</v>
      </c>
      <c r="K31">
        <v>5</v>
      </c>
      <c r="L31">
        <v>300</v>
      </c>
      <c r="M31">
        <v>200</v>
      </c>
      <c r="N31">
        <v>8</v>
      </c>
      <c r="O31">
        <v>350</v>
      </c>
      <c r="P31" t="s">
        <v>50</v>
      </c>
    </row>
    <row r="32" spans="1:16" x14ac:dyDescent="0.35">
      <c r="A32" t="s">
        <v>112</v>
      </c>
      <c r="B32" t="s">
        <v>4</v>
      </c>
      <c r="C32" t="s">
        <v>5</v>
      </c>
      <c r="D32" t="s">
        <v>6</v>
      </c>
      <c r="E32" t="s">
        <v>7</v>
      </c>
      <c r="F32" t="s">
        <v>55</v>
      </c>
      <c r="G32" t="s">
        <v>53</v>
      </c>
      <c r="H32" t="s">
        <v>9</v>
      </c>
      <c r="J32">
        <v>20</v>
      </c>
      <c r="P32" t="s">
        <v>56</v>
      </c>
    </row>
    <row r="33" spans="1:16" x14ac:dyDescent="0.35">
      <c r="A33" t="s">
        <v>112</v>
      </c>
      <c r="B33" t="s">
        <v>61</v>
      </c>
      <c r="C33" t="s">
        <v>5</v>
      </c>
      <c r="D33" t="s">
        <v>14</v>
      </c>
      <c r="E33" t="s">
        <v>7</v>
      </c>
      <c r="F33" t="s">
        <v>55</v>
      </c>
      <c r="G33" t="s">
        <v>53</v>
      </c>
      <c r="H33" t="s">
        <v>9</v>
      </c>
      <c r="I33">
        <v>1</v>
      </c>
      <c r="J33">
        <v>2</v>
      </c>
      <c r="K33">
        <v>7</v>
      </c>
      <c r="L33">
        <v>50</v>
      </c>
      <c r="M33">
        <v>60</v>
      </c>
      <c r="N33">
        <v>10</v>
      </c>
      <c r="O33">
        <v>60</v>
      </c>
      <c r="P33" t="s">
        <v>15</v>
      </c>
    </row>
    <row r="34" spans="1:16" x14ac:dyDescent="0.35">
      <c r="A34" t="s">
        <v>112</v>
      </c>
      <c r="B34" t="s">
        <v>69</v>
      </c>
      <c r="C34" t="s">
        <v>12</v>
      </c>
      <c r="D34" t="s">
        <v>14</v>
      </c>
      <c r="E34" t="s">
        <v>16</v>
      </c>
      <c r="F34" t="s">
        <v>55</v>
      </c>
      <c r="G34" t="s">
        <v>77</v>
      </c>
      <c r="H34" t="s">
        <v>9</v>
      </c>
      <c r="I34" t="s">
        <v>78</v>
      </c>
      <c r="J34">
        <v>3</v>
      </c>
      <c r="K34">
        <v>10</v>
      </c>
      <c r="L34">
        <v>200</v>
      </c>
      <c r="M34">
        <v>100</v>
      </c>
      <c r="N34">
        <v>13.5</v>
      </c>
      <c r="O34">
        <v>400</v>
      </c>
      <c r="P34" t="s">
        <v>15</v>
      </c>
    </row>
    <row r="35" spans="1:16" x14ac:dyDescent="0.35">
      <c r="A35" t="s">
        <v>112</v>
      </c>
      <c r="B35" t="s">
        <v>18</v>
      </c>
      <c r="C35" t="s">
        <v>5</v>
      </c>
      <c r="D35" t="s">
        <v>6</v>
      </c>
      <c r="E35" t="s">
        <v>19</v>
      </c>
      <c r="F35" t="s">
        <v>55</v>
      </c>
      <c r="G35" t="s">
        <v>53</v>
      </c>
      <c r="H35" t="s">
        <v>9</v>
      </c>
      <c r="I35" t="s">
        <v>79</v>
      </c>
      <c r="J35">
        <v>10</v>
      </c>
      <c r="K35">
        <v>8</v>
      </c>
      <c r="L35">
        <v>200</v>
      </c>
      <c r="N35">
        <v>15</v>
      </c>
      <c r="O35">
        <v>600</v>
      </c>
      <c r="P35" t="s">
        <v>15</v>
      </c>
    </row>
    <row r="36" spans="1:16" x14ac:dyDescent="0.35">
      <c r="A36" t="s">
        <v>112</v>
      </c>
      <c r="B36" t="s">
        <v>62</v>
      </c>
      <c r="F36" t="s">
        <v>55</v>
      </c>
      <c r="G36" t="s">
        <v>80</v>
      </c>
      <c r="H36" t="s">
        <v>9</v>
      </c>
      <c r="I36" t="s">
        <v>72</v>
      </c>
      <c r="J36">
        <v>12</v>
      </c>
      <c r="K36">
        <v>5</v>
      </c>
      <c r="L36">
        <v>500</v>
      </c>
      <c r="M36">
        <v>60</v>
      </c>
      <c r="N36">
        <v>13</v>
      </c>
      <c r="O36">
        <f>(300+500)/2</f>
        <v>400</v>
      </c>
      <c r="P36" t="s">
        <v>15</v>
      </c>
    </row>
    <row r="37" spans="1:16" x14ac:dyDescent="0.35">
      <c r="A37" t="s">
        <v>112</v>
      </c>
      <c r="B37" t="s">
        <v>21</v>
      </c>
      <c r="C37" t="s">
        <v>5</v>
      </c>
      <c r="D37" t="s">
        <v>22</v>
      </c>
      <c r="E37" t="s">
        <v>7</v>
      </c>
      <c r="F37" t="s">
        <v>55</v>
      </c>
      <c r="G37" t="s">
        <v>80</v>
      </c>
      <c r="H37" t="s">
        <v>9</v>
      </c>
      <c r="J37">
        <v>1.5</v>
      </c>
      <c r="K37">
        <v>5</v>
      </c>
      <c r="L37">
        <v>150</v>
      </c>
    </row>
    <row r="38" spans="1:16" x14ac:dyDescent="0.35">
      <c r="A38" t="s">
        <v>112</v>
      </c>
      <c r="B38" t="s">
        <v>24</v>
      </c>
      <c r="C38" t="s">
        <v>12</v>
      </c>
      <c r="D38" t="s">
        <v>25</v>
      </c>
      <c r="E38" t="s">
        <v>16</v>
      </c>
      <c r="F38" t="s">
        <v>55</v>
      </c>
      <c r="G38" t="s">
        <v>53</v>
      </c>
      <c r="H38" t="s">
        <v>9</v>
      </c>
      <c r="K38">
        <v>5</v>
      </c>
      <c r="L38">
        <f>(350+650)/2</f>
        <v>500</v>
      </c>
      <c r="N38">
        <v>6</v>
      </c>
    </row>
    <row r="39" spans="1:16" x14ac:dyDescent="0.35">
      <c r="A39" t="s">
        <v>112</v>
      </c>
      <c r="B39" t="s">
        <v>26</v>
      </c>
      <c r="C39" t="s">
        <v>5</v>
      </c>
      <c r="D39" t="s">
        <v>14</v>
      </c>
      <c r="E39" t="s">
        <v>27</v>
      </c>
      <c r="F39" t="s">
        <v>55</v>
      </c>
      <c r="G39" t="s">
        <v>80</v>
      </c>
      <c r="H39" t="s">
        <v>9</v>
      </c>
      <c r="K39">
        <v>4</v>
      </c>
      <c r="P39" t="s">
        <v>28</v>
      </c>
    </row>
    <row r="40" spans="1:16" x14ac:dyDescent="0.35">
      <c r="A40" t="s">
        <v>112</v>
      </c>
      <c r="B40" t="s">
        <v>64</v>
      </c>
      <c r="E40" t="s">
        <v>27</v>
      </c>
      <c r="F40" t="s">
        <v>55</v>
      </c>
      <c r="G40" t="s">
        <v>53</v>
      </c>
      <c r="H40" t="s">
        <v>9</v>
      </c>
      <c r="J40">
        <v>20</v>
      </c>
      <c r="K40">
        <v>6</v>
      </c>
      <c r="L40">
        <v>150</v>
      </c>
      <c r="M40">
        <v>45</v>
      </c>
      <c r="N40">
        <v>11</v>
      </c>
      <c r="P40" t="s">
        <v>15</v>
      </c>
    </row>
    <row r="41" spans="1:16" x14ac:dyDescent="0.35">
      <c r="A41" t="s">
        <v>112</v>
      </c>
      <c r="B41" t="s">
        <v>65</v>
      </c>
      <c r="C41" t="s">
        <v>12</v>
      </c>
      <c r="D41" t="s">
        <v>25</v>
      </c>
      <c r="E41" t="s">
        <v>27</v>
      </c>
      <c r="F41" t="s">
        <v>55</v>
      </c>
      <c r="G41" t="s">
        <v>54</v>
      </c>
      <c r="H41" t="s">
        <v>9</v>
      </c>
      <c r="I41">
        <v>1</v>
      </c>
      <c r="K41">
        <f>(4+7)/2</f>
        <v>5.5</v>
      </c>
      <c r="L41">
        <v>300</v>
      </c>
      <c r="P41" t="s">
        <v>57</v>
      </c>
    </row>
    <row r="42" spans="1:16" x14ac:dyDescent="0.35">
      <c r="A42" t="s">
        <v>112</v>
      </c>
      <c r="B42" t="s">
        <v>66</v>
      </c>
      <c r="C42" t="s">
        <v>5</v>
      </c>
      <c r="D42" t="s">
        <v>6</v>
      </c>
      <c r="E42" t="s">
        <v>19</v>
      </c>
      <c r="F42" t="s">
        <v>55</v>
      </c>
      <c r="G42" t="s">
        <v>81</v>
      </c>
      <c r="H42" t="s">
        <v>9</v>
      </c>
      <c r="I42" t="s">
        <v>73</v>
      </c>
      <c r="J42">
        <v>1</v>
      </c>
      <c r="K42">
        <v>12</v>
      </c>
      <c r="L42">
        <v>400</v>
      </c>
      <c r="M42">
        <v>80</v>
      </c>
    </row>
    <row r="43" spans="1:16" x14ac:dyDescent="0.35">
      <c r="A43" t="s">
        <v>112</v>
      </c>
      <c r="B43" t="s">
        <v>68</v>
      </c>
      <c r="C43" t="s">
        <v>5</v>
      </c>
      <c r="D43" t="s">
        <v>32</v>
      </c>
      <c r="E43" t="s">
        <v>16</v>
      </c>
      <c r="F43" t="s">
        <v>55</v>
      </c>
      <c r="G43" t="s">
        <v>82</v>
      </c>
      <c r="H43" t="s">
        <v>33</v>
      </c>
      <c r="I43" t="s">
        <v>72</v>
      </c>
      <c r="J43">
        <v>27</v>
      </c>
      <c r="K43">
        <v>8</v>
      </c>
      <c r="L43">
        <v>200</v>
      </c>
      <c r="N43">
        <v>8.4</v>
      </c>
      <c r="O43">
        <v>300</v>
      </c>
      <c r="P43" t="s">
        <v>15</v>
      </c>
    </row>
    <row r="44" spans="1:16" x14ac:dyDescent="0.35">
      <c r="A44" t="s">
        <v>35</v>
      </c>
      <c r="B44" t="s">
        <v>36</v>
      </c>
      <c r="F44" t="s">
        <v>55</v>
      </c>
      <c r="G44" t="s">
        <v>81</v>
      </c>
      <c r="H44" t="s">
        <v>9</v>
      </c>
      <c r="I44" t="s">
        <v>73</v>
      </c>
      <c r="J44">
        <v>1</v>
      </c>
      <c r="L44">
        <v>580</v>
      </c>
      <c r="M44">
        <v>170</v>
      </c>
      <c r="N44">
        <v>9</v>
      </c>
      <c r="O44">
        <f>(1550+2000)/2</f>
        <v>1775</v>
      </c>
      <c r="P44" t="s">
        <v>15</v>
      </c>
    </row>
    <row r="45" spans="1:16" x14ac:dyDescent="0.35">
      <c r="A45" t="s">
        <v>35</v>
      </c>
      <c r="B45" t="s">
        <v>38</v>
      </c>
      <c r="C45" t="s">
        <v>5</v>
      </c>
      <c r="D45" t="s">
        <v>6</v>
      </c>
      <c r="E45" t="s">
        <v>19</v>
      </c>
      <c r="F45" t="s">
        <v>55</v>
      </c>
      <c r="G45" t="s">
        <v>81</v>
      </c>
      <c r="H45" t="s">
        <v>9</v>
      </c>
      <c r="I45" t="s">
        <v>73</v>
      </c>
      <c r="J45">
        <v>9</v>
      </c>
      <c r="K45">
        <v>7</v>
      </c>
      <c r="L45">
        <v>120</v>
      </c>
      <c r="M45">
        <v>150</v>
      </c>
      <c r="N45">
        <v>7</v>
      </c>
      <c r="O45">
        <f>(900+1000)/2</f>
        <v>950</v>
      </c>
      <c r="P45" t="s">
        <v>15</v>
      </c>
    </row>
    <row r="46" spans="1:16" x14ac:dyDescent="0.35">
      <c r="A46" t="s">
        <v>35</v>
      </c>
      <c r="B46" t="s">
        <v>40</v>
      </c>
      <c r="C46" t="s">
        <v>5</v>
      </c>
      <c r="D46" t="s">
        <v>6</v>
      </c>
      <c r="E46" t="s">
        <v>27</v>
      </c>
      <c r="F46" t="s">
        <v>55</v>
      </c>
      <c r="G46" t="s">
        <v>83</v>
      </c>
      <c r="H46" t="s">
        <v>9</v>
      </c>
      <c r="I46" t="s">
        <v>74</v>
      </c>
      <c r="J46">
        <v>20</v>
      </c>
      <c r="K46">
        <v>3.5</v>
      </c>
      <c r="L46">
        <f>(75+100)/2</f>
        <v>87.5</v>
      </c>
      <c r="M46">
        <v>150</v>
      </c>
      <c r="N46">
        <v>4.333333333333333</v>
      </c>
      <c r="O46">
        <v>200</v>
      </c>
      <c r="P46" t="s">
        <v>58</v>
      </c>
    </row>
    <row r="47" spans="1:16" x14ac:dyDescent="0.35">
      <c r="A47" t="s">
        <v>35</v>
      </c>
      <c r="B47" t="s">
        <v>42</v>
      </c>
      <c r="C47" t="s">
        <v>5</v>
      </c>
      <c r="D47" t="s">
        <v>13</v>
      </c>
      <c r="E47" t="s">
        <v>19</v>
      </c>
      <c r="F47" t="s">
        <v>55</v>
      </c>
      <c r="G47" t="s">
        <v>53</v>
      </c>
      <c r="H47" t="s">
        <v>9</v>
      </c>
      <c r="I47" t="s">
        <v>75</v>
      </c>
      <c r="J47">
        <v>3</v>
      </c>
      <c r="K47">
        <v>9</v>
      </c>
      <c r="L47">
        <v>680</v>
      </c>
      <c r="M47">
        <v>252.5</v>
      </c>
      <c r="O47">
        <v>300</v>
      </c>
      <c r="P47" t="s">
        <v>59</v>
      </c>
    </row>
    <row r="48" spans="1:16" x14ac:dyDescent="0.35">
      <c r="A48" t="s">
        <v>35</v>
      </c>
      <c r="B48" t="s">
        <v>51</v>
      </c>
      <c r="C48" t="s">
        <v>12</v>
      </c>
      <c r="D48" t="s">
        <v>6</v>
      </c>
      <c r="E48" t="s">
        <v>16</v>
      </c>
      <c r="F48" t="s">
        <v>55</v>
      </c>
      <c r="G48" t="s">
        <v>37</v>
      </c>
      <c r="H48" t="s">
        <v>33</v>
      </c>
      <c r="K48">
        <v>5</v>
      </c>
      <c r="P48" t="s">
        <v>60</v>
      </c>
    </row>
  </sheetData>
  <autoFilter ref="A1:P48" xr:uid="{EFBBCA3D-A0A4-4315-8221-1D5EDCD487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Fishers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Olaya Restrepo</dc:creator>
  <cp:lastModifiedBy>Julian Olaya Restrepo</cp:lastModifiedBy>
  <dcterms:created xsi:type="dcterms:W3CDTF">2025-01-03T22:35:21Z</dcterms:created>
  <dcterms:modified xsi:type="dcterms:W3CDTF">2025-01-06T08:33:24Z</dcterms:modified>
</cp:coreProperties>
</file>